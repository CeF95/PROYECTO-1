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les\Desktop\IterativoVsRecursivo\"/>
    </mc:Choice>
  </mc:AlternateContent>
  <xr:revisionPtr revIDLastSave="0" documentId="13_ncr:1_{D443BAE2-3161-4C83-AC77-E92C75647106}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<sst xmlns="http://schemas.openxmlformats.org/spreadsheetml/2006/main" count="209" uniqueCount="74">
  <si>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</si>
  <si>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</si>
  <si>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</si>
  <si>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</si>
  <si>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</si>
  <si>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</si>
  <si>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</si>
  <si>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</si>
  <si>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</si>
  <si>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</si>
  <si>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</si>
  <si>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</si>
  <si>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</si>
  <si>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</si>
  <si>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</si>
  <si>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</si>
  <si>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</si>
  <si>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</si>
  <si>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</si>
  <si>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</si>
  <si>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</si>
  <si>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</si>
  <si>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</si>
  <si>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</si>
  <si>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</si>
  <si>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</si>
  <si>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</si>
  <si>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</si>
  <si>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</si>
  <si>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</si>
  <si>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</si>
  <si>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</si>
  <si>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</si>
  <si>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</si>
  <si>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</si>
  <si>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</si>
  <si>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</si>
  <si>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</si>
  <si>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</si>
  <si>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</si>
  <si>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</si>
  <si>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</si>
  <si>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</si>
  <si>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</si>
  <si>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</si>
  <si>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</si>
  <si>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</si>
  <si>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</si>
  <si>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</si>
  <si>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</si>
  <si>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</si>
  <si>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</si>
  <si>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</si>
  <si>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</si>
  <si>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</si>
  <si>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</si>
  <si>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</si>
  <si>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</si>
  <si>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</si>
  <si>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</si>
  <si>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</si>
  <si>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</si>
  <si>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</si>
  <si>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</si>
  <si>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</si>
  <si>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</si>
  <si>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Es lineal, con menor pila</t>
  </si>
  <si>
    <t>Lineal con riesgo de overflow</t>
  </si>
  <si>
    <t>Eficiente en memoria y tiempo</t>
  </si>
  <si>
    <t>Crecimiento exponencial por llamadas duplicadas</t>
  </si>
  <si>
    <t>Mayor uso de pila, no aporta ventaja</t>
  </si>
  <si>
    <t>Eficiente en memoria</t>
  </si>
  <si>
    <t>Al multiplicar n*10 el tiempo aumenta</t>
  </si>
  <si>
    <t>Con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</si>
</sst>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2.6200000000000003E-4</c:v>
                </c:pt>
                <c:pt idx="1">
                  <c:v>2.1400000000000004E-3</c:v>
                </c:pt>
                <c:pt idx="2">
                  <c:v>3.6400000000000001E-4</c:v>
                </c:pt>
                <c:pt idx="3">
                  <c:v>4.4800000000000005E-4</c:v>
                </c:pt>
                <c:pt idx="4">
                  <c:v>5.04E-4</c:v>
                </c:pt>
                <c:pt idx="5">
                  <c:v>0.19064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2.4399999999999999E-4</c:v>
                </c:pt>
                <c:pt idx="1">
                  <c:v>2.6600000000000001E-4</c:v>
                </c:pt>
                <c:pt idx="2">
                  <c:v>2.9199999999999994E-4</c:v>
                </c:pt>
                <c:pt idx="3">
                  <c:v>3.3799999999999998E-4</c:v>
                </c:pt>
                <c:pt idx="4">
                  <c:v>3.4600000000000001E-4</c:v>
                </c:pt>
                <c:pt idx="5">
                  <c:v>3.1099999999999995E-3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2.8799999999999995E-4</c:v>
                </c:pt>
                <c:pt idx="1">
                  <c:v>5.62E-4</c:v>
                </c:pt>
                <c:pt idx="2">
                  <c:v>5.6519999999999999E-3</c:v>
                </c:pt>
                <c:pt idx="3">
                  <c:v>4.7800000000000002E-4</c:v>
                </c:pt>
                <c:pt idx="4">
                  <c:v>1.3100000000000002E-3</c:v>
                </c:pt>
                <c:pt idx="5">
                  <c:v>1.16E-3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2.0800000000000001E-4</c:v>
                </c:pt>
                <c:pt idx="1">
                  <c:v>5.2599999999999999E-4</c:v>
                </c:pt>
                <c:pt idx="2">
                  <c:v>5.7959999999999999E-3</c:v>
                </c:pt>
                <c:pt idx="3">
                  <c:v>5.5909999999999994E-2</c:v>
                </c:pt>
                <c:pt idx="4">
                  <c:v>0.42469999999999997</c:v>
                </c:pt>
                <c:pt idx="5">
                  <c:v>4.9792620000000003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2.4200000000000003E-4</c:v>
                </c:pt>
                <c:pt idx="1">
                  <c:v>2.72E-4</c:v>
                </c:pt>
                <c:pt idx="2">
                  <c:v>2.9599999999999993E-4</c:v>
                </c:pt>
                <c:pt idx="3">
                  <c:v>2.8399999999999996E-4</c:v>
                </c:pt>
                <c:pt idx="4">
                  <c:v>7.2399999999999993E-4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6.2399999999999988E-4</c:v>
                </c:pt>
                <c:pt idx="1">
                  <c:v>3.0800000000000001E-4</c:v>
                </c:pt>
                <c:pt idx="2">
                  <c:v>5.0600000000000005E-4</c:v>
                </c:pt>
                <c:pt idx="3">
                  <c:v>3.9199999999999999E-4</c:v>
                </c:pt>
                <c:pt idx="4">
                  <c:v>9.1E-4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2.5739999999999999E-3</c:v>
                </c:pt>
                <c:pt idx="1">
                  <c:v>1.542E-3</c:v>
                </c:pt>
                <c:pt idx="2">
                  <c:v>1.4859999999999999E-3</c:v>
                </c:pt>
                <c:pt idx="3">
                  <c:v>1.7139999999999998E-3</c:v>
                </c:pt>
                <c:pt idx="4">
                  <c:v>0.14933399999999999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1.5E-3</c:v>
                </c:pt>
                <c:pt idx="1">
                  <c:v>2.408E-3</c:v>
                </c:pt>
                <c:pt idx="2">
                  <c:v>4.5500000000000002E-3</c:v>
                </c:pt>
                <c:pt idx="3">
                  <c:v>2.1099999999999999E-3</c:v>
                </c:pt>
                <c:pt idx="4">
                  <c:v>1.6280000000000003E-3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17</xdr:row>
      <xdr:rowOff>111584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abSelected="1" zoomScaleNormal="100" workbookViewId="0">
      <selection activeCell="C5" sqref="C5:D5"/>
    </sheetView>
  </sheetViews>
  <sheetFormatPr baseColWidth="10" defaultColWidth="8.6640625" defaultRowHeight="15.0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5.95" customHeight="1" x14ac:dyDescent="0.3"/>
    <row r="2" spans="2:4" ht="36" customHeight="1" x14ac:dyDescent="0.3">
      <c r="B2" s="36" t="s">
        <v>0</v>
      </c>
      <c r="C2" s="36"/>
      <c r="D2" s="36"/>
    </row>
    <row r="3" spans="2:4" ht="21.8" customHeight="1" x14ac:dyDescent="0.3">
      <c r="B3" s="37" t="s">
        <v>1</v>
      </c>
      <c r="C3" s="37"/>
      <c r="D3" s="37"/>
    </row>
    <row r="4" spans="2:4" ht="9.6999999999999993" customHeight="1" x14ac:dyDescent="0.3"/>
    <row r="5" spans="2:4" ht="27.7" customHeight="1" x14ac:dyDescent="0.3">
      <c r="B5" s="31" t="s">
        <v>2</v>
      </c>
      <c r="C5" s="35" t="s">
        <v>3</v>
      </c>
      <c r="D5" s="35"/>
    </row>
    <row r="6" spans="2:4" ht="59.95" customHeight="1" x14ac:dyDescent="0.3">
      <c r="B6" s="31"/>
      <c r="C6" s="33"/>
      <c r="D6" s="33"/>
    </row>
    <row r="7" spans="2:4" ht="5.95" customHeight="1" x14ac:dyDescent="0.3"/>
    <row r="8" spans="2:4" ht="27.7" customHeight="1" x14ac:dyDescent="0.3">
      <c r="B8" s="31" t="s">
        <v>4</v>
      </c>
      <c r="C8" s="32" t="s">
        <v>5</v>
      </c>
      <c r="D8" s="32"/>
    </row>
    <row r="9" spans="2:4" ht="117.7" customHeight="1" x14ac:dyDescent="0.3">
      <c r="B9" s="31"/>
      <c r="C9" s="33"/>
      <c r="D9" s="33"/>
    </row>
    <row r="10" spans="2:4" ht="5.95" customHeight="1" x14ac:dyDescent="0.3"/>
    <row r="11" spans="2:4" ht="27.7" customHeight="1" x14ac:dyDescent="0.3">
      <c r="B11" s="31" t="s">
        <v>6</v>
      </c>
      <c r="C11" s="32" t="s">
        <v>7</v>
      </c>
      <c r="D11" s="32"/>
    </row>
    <row r="12" spans="2:4" ht="81.7" customHeight="1" x14ac:dyDescent="0.3">
      <c r="B12" s="31"/>
      <c r="C12" s="33"/>
      <c r="D12" s="33"/>
    </row>
    <row r="13" spans="2:4" ht="5.95" customHeight="1" x14ac:dyDescent="0.3"/>
    <row r="14" spans="2:4" ht="27.7" customHeight="1" x14ac:dyDescent="0.3">
      <c r="B14" s="31" t="s">
        <v>8</v>
      </c>
      <c r="C14" s="34" t="s">
        <v>9</v>
      </c>
      <c r="D14" s="34"/>
    </row>
    <row r="15" spans="2:4" ht="99.7" customHeight="1" x14ac:dyDescent="0.3">
      <c r="B15" s="31"/>
      <c r="C15" s="33"/>
      <c r="D15" s="33"/>
    </row>
    <row r="16" spans="2:4" ht="5.95" customHeight="1" x14ac:dyDescent="0.3"/>
    <row r="17" spans="2:4" ht="27.7" customHeight="1" x14ac:dyDescent="0.3">
      <c r="B17" s="31" t="s">
        <v>10</v>
      </c>
      <c r="C17" s="35" t="s">
        <v>11</v>
      </c>
      <c r="D17" s="35"/>
    </row>
    <row r="18" spans="2:4" ht="99.7" customHeight="1" x14ac:dyDescent="0.3">
      <c r="B18" s="31"/>
      <c r="C18" s="33"/>
      <c r="D18" s="33"/>
    </row>
    <row r="19" spans="2:4" ht="5.95" customHeight="1" x14ac:dyDescent="0.3"/>
    <row r="20" spans="2:4" ht="27.7" customHeight="1" x14ac:dyDescent="0.3">
      <c r="B20" s="31" t="s">
        <v>12</v>
      </c>
      <c r="C20" s="32" t="s">
        <v>13</v>
      </c>
      <c r="D20" s="32"/>
    </row>
    <row r="21" spans="2:4" ht="81.7" customHeight="1" x14ac:dyDescent="0.3">
      <c r="B21" s="31"/>
      <c r="C21" s="33"/>
      <c r="D21" s="33"/>
    </row>
    <row r="22" spans="2:4" ht="5.95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showGridLines="0" topLeftCell="C1" zoomScaleNormal="100" workbookViewId="0">
      <pane ySplit="2" topLeftCell="A34" activePane="bottomLeft" state="frozen"/>
      <selection pane="bottomLeft" activeCell="I46" sqref="I46"/>
    </sheetView>
  </sheetViews>
  <sheetFormatPr baseColWidth="10" defaultColWidth="8.6640625" defaultRowHeight="15.05" customHeight="1" x14ac:dyDescent="0.3"/>
  <cols>
    <col min="1" max="1" width="12" hidden="1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85" customHeight="1" x14ac:dyDescent="0.3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v>2.7E-4</v>
      </c>
      <c r="F3" s="6">
        <v>2.5000000000000001E-4</v>
      </c>
      <c r="G3" s="6">
        <v>1.9000000000000001E-4</v>
      </c>
      <c r="H3" s="6">
        <v>3.6000000000000002E-4</v>
      </c>
      <c r="I3" s="6">
        <v>2.4000000000000001E-4</v>
      </c>
      <c r="J3" s="7">
        <f t="shared" ref="J3:J14" si="0">AVERAGE(E3:I3)</f>
        <v>2.6200000000000003E-4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v>5.5000000000000003E-4</v>
      </c>
      <c r="F4" s="6">
        <v>7.2000000000000005E-4</v>
      </c>
      <c r="G4" s="6">
        <v>7.5000000000000002E-4</v>
      </c>
      <c r="H4" s="6">
        <v>8.1799999999999998E-3</v>
      </c>
      <c r="I4" s="6">
        <v>5.0000000000000001E-4</v>
      </c>
      <c r="J4" s="7">
        <f t="shared" si="0"/>
        <v>2.1400000000000004E-3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v>4.2999999999999999E-4</v>
      </c>
      <c r="F5" s="6">
        <v>3.3E-4</v>
      </c>
      <c r="G5" s="6">
        <v>3.5E-4</v>
      </c>
      <c r="H5" s="6">
        <v>3.6999999999999999E-4</v>
      </c>
      <c r="I5" s="6">
        <v>3.4000000000000002E-4</v>
      </c>
      <c r="J5" s="7">
        <f t="shared" si="0"/>
        <v>3.6400000000000001E-4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v>4.4999999999999999E-4</v>
      </c>
      <c r="F6" s="6">
        <v>4.0999999999999999E-4</v>
      </c>
      <c r="G6" s="6">
        <v>4.8000000000000001E-4</v>
      </c>
      <c r="H6" s="6">
        <v>4.4000000000000002E-4</v>
      </c>
      <c r="I6" s="6">
        <v>4.6000000000000001E-4</v>
      </c>
      <c r="J6" s="7">
        <f t="shared" si="0"/>
        <v>4.4800000000000005E-4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v>5.5000000000000003E-4</v>
      </c>
      <c r="F7" s="6">
        <v>4.6000000000000001E-4</v>
      </c>
      <c r="G7" s="6">
        <v>5.0000000000000001E-4</v>
      </c>
      <c r="H7" s="6">
        <v>5.1000000000000004E-4</v>
      </c>
      <c r="I7" s="6">
        <v>5.0000000000000001E-4</v>
      </c>
      <c r="J7" s="7">
        <f t="shared" si="0"/>
        <v>5.04E-4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v>0.15762000000000001</v>
      </c>
      <c r="F8" s="6">
        <v>0.24751000000000001</v>
      </c>
      <c r="G8" s="6">
        <v>0.17279</v>
      </c>
      <c r="H8" s="6">
        <v>0.24565000000000001</v>
      </c>
      <c r="I8" s="6">
        <v>0.12963</v>
      </c>
      <c r="J8" s="7">
        <f t="shared" si="0"/>
        <v>0.19064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v>2.9E-4</v>
      </c>
      <c r="F9" s="6">
        <v>2.0000000000000001E-4</v>
      </c>
      <c r="G9" s="6">
        <v>2.1000000000000001E-4</v>
      </c>
      <c r="H9" s="6">
        <v>2.5000000000000001E-4</v>
      </c>
      <c r="I9" s="6">
        <v>2.7E-4</v>
      </c>
      <c r="J9" s="7">
        <f t="shared" si="0"/>
        <v>2.4399999999999999E-4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v>2.9999999999999997E-4</v>
      </c>
      <c r="F10" s="6">
        <v>2.5000000000000001E-4</v>
      </c>
      <c r="G10" s="6">
        <v>2.5999999999999998E-4</v>
      </c>
      <c r="H10" s="6">
        <v>2.5000000000000001E-4</v>
      </c>
      <c r="I10" s="6">
        <v>2.7E-4</v>
      </c>
      <c r="J10" s="7">
        <f t="shared" si="0"/>
        <v>2.6600000000000001E-4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v>2.7999999999999998E-4</v>
      </c>
      <c r="F11" s="6">
        <v>2.5999999999999998E-4</v>
      </c>
      <c r="G11" s="6">
        <v>2.9999999999999997E-4</v>
      </c>
      <c r="H11" s="6">
        <v>2.9999999999999997E-4</v>
      </c>
      <c r="I11" s="6">
        <v>3.2000000000000003E-4</v>
      </c>
      <c r="J11" s="7">
        <f t="shared" si="0"/>
        <v>2.9199999999999994E-4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v>3.3E-4</v>
      </c>
      <c r="F12" s="6">
        <v>3.8999999999999999E-4</v>
      </c>
      <c r="G12" s="6">
        <v>3.3E-4</v>
      </c>
      <c r="H12" s="6">
        <v>3.1E-4</v>
      </c>
      <c r="I12" s="6">
        <v>3.3E-4</v>
      </c>
      <c r="J12" s="7">
        <f t="shared" si="0"/>
        <v>3.3799999999999998E-4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v>3.3E-4</v>
      </c>
      <c r="F13" s="6">
        <v>3.2000000000000003E-4</v>
      </c>
      <c r="G13" s="6">
        <v>2.9E-4</v>
      </c>
      <c r="H13" s="6">
        <v>2.9E-4</v>
      </c>
      <c r="I13" s="6">
        <v>5.0000000000000001E-4</v>
      </c>
      <c r="J13" s="7">
        <f t="shared" si="0"/>
        <v>3.4600000000000001E-4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v>2.8400000000000001E-3</v>
      </c>
      <c r="F14" s="6">
        <v>2.82E-3</v>
      </c>
      <c r="G14" s="6">
        <v>3.4199999999999999E-3</v>
      </c>
      <c r="H14" s="6">
        <v>3.3899999999999998E-3</v>
      </c>
      <c r="I14" s="6">
        <v>3.0799999999999998E-3</v>
      </c>
      <c r="J14" s="7">
        <f t="shared" si="0"/>
        <v>3.1099999999999995E-3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v>2.9999999999999997E-4</v>
      </c>
      <c r="F16" s="6">
        <v>2.9999999999999997E-4</v>
      </c>
      <c r="G16" s="6">
        <v>2.7999999999999998E-4</v>
      </c>
      <c r="H16" s="6">
        <v>2.2000000000000001E-4</v>
      </c>
      <c r="I16" s="6">
        <v>3.4000000000000002E-4</v>
      </c>
      <c r="J16" s="7">
        <f t="shared" ref="J16:J27" si="1">AVERAGE(E16:I16)</f>
        <v>2.8799999999999995E-4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v>4.6000000000000001E-4</v>
      </c>
      <c r="F17" s="6">
        <v>4.0999999999999999E-4</v>
      </c>
      <c r="G17" s="6">
        <v>6.2E-4</v>
      </c>
      <c r="H17" s="6">
        <v>5.9000000000000003E-4</v>
      </c>
      <c r="I17" s="6">
        <v>7.2999999999999996E-4</v>
      </c>
      <c r="J17" s="7">
        <f t="shared" si="1"/>
        <v>5.62E-4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v>3.2000000000000003E-4</v>
      </c>
      <c r="F18" s="6">
        <v>4.4999999999999999E-4</v>
      </c>
      <c r="G18" s="6">
        <v>4.6999999999999999E-4</v>
      </c>
      <c r="H18" s="6">
        <v>2.6519999999999998E-2</v>
      </c>
      <c r="I18" s="6">
        <v>5.0000000000000001E-4</v>
      </c>
      <c r="J18" s="7">
        <f t="shared" si="1"/>
        <v>5.6519999999999999E-3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v>5.5999999999999995E-4</v>
      </c>
      <c r="F19" s="6">
        <v>4.8999999999999998E-4</v>
      </c>
      <c r="G19" s="6">
        <v>4.4999999999999999E-4</v>
      </c>
      <c r="H19" s="6">
        <v>3.8000000000000002E-4</v>
      </c>
      <c r="I19" s="6">
        <v>5.1000000000000004E-4</v>
      </c>
      <c r="J19" s="7">
        <f t="shared" si="1"/>
        <v>4.7800000000000002E-4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v>4.4400000000000004E-3</v>
      </c>
      <c r="F20" s="6">
        <v>5.6999999999999998E-4</v>
      </c>
      <c r="G20" s="6">
        <v>4.6999999999999999E-4</v>
      </c>
      <c r="H20" s="6">
        <v>6.3000000000000003E-4</v>
      </c>
      <c r="I20" s="6">
        <v>4.4000000000000002E-4</v>
      </c>
      <c r="J20" s="7">
        <f t="shared" si="1"/>
        <v>1.3100000000000002E-3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v>1.2600000000000001E-3</v>
      </c>
      <c r="F21" s="6">
        <v>9.2000000000000003E-4</v>
      </c>
      <c r="G21" s="6">
        <v>1.2099999999999999E-3</v>
      </c>
      <c r="H21" s="6">
        <v>1E-3</v>
      </c>
      <c r="I21" s="6">
        <v>1.41E-3</v>
      </c>
      <c r="J21" s="7">
        <f t="shared" si="1"/>
        <v>1.16E-3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v>1.4999999999999999E-4</v>
      </c>
      <c r="F22" s="6">
        <v>2.3000000000000001E-4</v>
      </c>
      <c r="G22" s="6">
        <v>2.1000000000000001E-4</v>
      </c>
      <c r="H22" s="6">
        <v>2.2000000000000001E-4</v>
      </c>
      <c r="I22" s="6">
        <v>2.3000000000000001E-4</v>
      </c>
      <c r="J22" s="7">
        <f t="shared" si="1"/>
        <v>2.0800000000000001E-4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v>5.1999999999999995E-4</v>
      </c>
      <c r="F23" s="6">
        <v>3.6999999999999999E-4</v>
      </c>
      <c r="G23" s="6">
        <v>7.2000000000000005E-4</v>
      </c>
      <c r="H23" s="6">
        <v>5.1999999999999995E-4</v>
      </c>
      <c r="I23" s="6">
        <v>5.0000000000000001E-4</v>
      </c>
      <c r="J23" s="7">
        <f t="shared" si="1"/>
        <v>5.2599999999999999E-4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v>7.8799999999999999E-3</v>
      </c>
      <c r="F24" s="6">
        <v>3.8800000000000002E-3</v>
      </c>
      <c r="G24" s="6">
        <v>3.5699999999999998E-3</v>
      </c>
      <c r="H24" s="6">
        <v>3.6600000000000001E-3</v>
      </c>
      <c r="I24" s="6">
        <v>9.9900000000000006E-3</v>
      </c>
      <c r="J24" s="7">
        <f t="shared" si="1"/>
        <v>5.7959999999999999E-3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v>6.08E-2</v>
      </c>
      <c r="F25" s="6">
        <v>3.0849999999999999E-2</v>
      </c>
      <c r="G25" s="6">
        <v>8.9120000000000005E-2</v>
      </c>
      <c r="H25" s="6">
        <v>4.385E-2</v>
      </c>
      <c r="I25" s="6">
        <v>5.493E-2</v>
      </c>
      <c r="J25" s="7">
        <f t="shared" si="1"/>
        <v>5.5909999999999994E-2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v>0.36403000000000002</v>
      </c>
      <c r="F26" s="6">
        <v>0.78134000000000003</v>
      </c>
      <c r="G26" s="6">
        <v>0.31603999999999999</v>
      </c>
      <c r="H26" s="6">
        <v>0.32797999999999999</v>
      </c>
      <c r="I26" s="6">
        <v>0.33411000000000002</v>
      </c>
      <c r="J26" s="7">
        <f t="shared" si="1"/>
        <v>0.42469999999999997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v>5.0592699999999997</v>
      </c>
      <c r="F27" s="6">
        <v>5.3677200000000003</v>
      </c>
      <c r="G27" s="6">
        <v>4.9855799999999997</v>
      </c>
      <c r="H27" s="6">
        <v>5.0426799999999998</v>
      </c>
      <c r="I27" s="6">
        <v>4.4410600000000002</v>
      </c>
      <c r="J27" s="7">
        <f t="shared" si="1"/>
        <v>4.9792620000000003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v>2.5000000000000001E-4</v>
      </c>
      <c r="F29" s="6">
        <v>2.4000000000000001E-4</v>
      </c>
      <c r="G29" s="6">
        <v>2.7999999999999998E-4</v>
      </c>
      <c r="H29" s="6">
        <v>2.3000000000000001E-4</v>
      </c>
      <c r="I29" s="6">
        <v>2.1000000000000001E-4</v>
      </c>
      <c r="J29" s="7">
        <f t="shared" ref="J29:J38" si="2">AVERAGE(E29:I29)</f>
        <v>2.4200000000000003E-4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v>2.5000000000000001E-4</v>
      </c>
      <c r="F30" s="6">
        <v>2.2000000000000001E-4</v>
      </c>
      <c r="G30" s="6">
        <v>2.9E-4</v>
      </c>
      <c r="H30" s="6">
        <v>2.5000000000000001E-4</v>
      </c>
      <c r="I30" s="6">
        <v>3.5E-4</v>
      </c>
      <c r="J30" s="7">
        <f t="shared" si="2"/>
        <v>2.72E-4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v>3.3E-4</v>
      </c>
      <c r="F31" s="6">
        <v>2.9999999999999997E-4</v>
      </c>
      <c r="G31" s="6">
        <v>2.9999999999999997E-4</v>
      </c>
      <c r="H31" s="6">
        <v>2.7999999999999998E-4</v>
      </c>
      <c r="I31" s="6">
        <v>2.7E-4</v>
      </c>
      <c r="J31" s="7">
        <f t="shared" si="2"/>
        <v>2.9599999999999993E-4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v>2.7999999999999998E-4</v>
      </c>
      <c r="F32" s="6">
        <v>2.7E-4</v>
      </c>
      <c r="G32" s="6">
        <v>3.1E-4</v>
      </c>
      <c r="H32" s="6">
        <v>2.9999999999999997E-4</v>
      </c>
      <c r="I32" s="6">
        <v>2.5999999999999998E-4</v>
      </c>
      <c r="J32" s="7">
        <f t="shared" si="2"/>
        <v>2.8399999999999996E-4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v>7.5000000000000002E-4</v>
      </c>
      <c r="F33" s="6">
        <v>8.5999999999999998E-4</v>
      </c>
      <c r="G33" s="6">
        <v>7.3999999999999999E-4</v>
      </c>
      <c r="H33" s="6">
        <v>4.8000000000000001E-4</v>
      </c>
      <c r="I33" s="6">
        <v>7.9000000000000001E-4</v>
      </c>
      <c r="J33" s="7">
        <f t="shared" si="2"/>
        <v>7.2399999999999993E-4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v>2.7E-4</v>
      </c>
      <c r="F34" s="6">
        <v>2.9999999999999997E-4</v>
      </c>
      <c r="G34" s="6">
        <v>1.99E-3</v>
      </c>
      <c r="H34" s="6">
        <v>2.5999999999999998E-4</v>
      </c>
      <c r="I34" s="6">
        <v>2.9999999999999997E-4</v>
      </c>
      <c r="J34" s="7">
        <f t="shared" si="2"/>
        <v>6.2399999999999988E-4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v>2.9E-4</v>
      </c>
      <c r="F35" s="6">
        <v>2.9E-4</v>
      </c>
      <c r="G35" s="6">
        <v>3.6999999999999999E-4</v>
      </c>
      <c r="H35" s="6">
        <v>2.9999999999999997E-4</v>
      </c>
      <c r="I35" s="6">
        <v>2.9E-4</v>
      </c>
      <c r="J35" s="7">
        <f t="shared" si="2"/>
        <v>3.0800000000000001E-4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v>5.4000000000000001E-4</v>
      </c>
      <c r="F36" s="6">
        <v>5.6999999999999998E-4</v>
      </c>
      <c r="G36" s="6">
        <v>5.5000000000000003E-4</v>
      </c>
      <c r="H36" s="6">
        <v>4.8000000000000001E-4</v>
      </c>
      <c r="I36" s="6">
        <v>3.8999999999999999E-4</v>
      </c>
      <c r="J36" s="7">
        <f t="shared" si="2"/>
        <v>5.0600000000000005E-4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v>4.4999999999999999E-4</v>
      </c>
      <c r="F37" s="6">
        <v>4.4000000000000002E-4</v>
      </c>
      <c r="G37" s="6">
        <v>3.8999999999999999E-4</v>
      </c>
      <c r="H37" s="6">
        <v>3.6000000000000002E-4</v>
      </c>
      <c r="I37" s="6">
        <v>3.2000000000000003E-4</v>
      </c>
      <c r="J37" s="7">
        <f t="shared" si="2"/>
        <v>3.9199999999999999E-4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v>1.2700000000000001E-3</v>
      </c>
      <c r="F38" s="6">
        <v>4.0999999999999999E-4</v>
      </c>
      <c r="G38" s="6">
        <v>7.2000000000000005E-4</v>
      </c>
      <c r="H38" s="6">
        <v>9.2000000000000003E-4</v>
      </c>
      <c r="I38" s="6">
        <v>1.23E-3</v>
      </c>
      <c r="J38" s="7">
        <f t="shared" si="2"/>
        <v>9.1E-4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v>1.41E-3</v>
      </c>
      <c r="F40" s="6">
        <v>1.41E-3</v>
      </c>
      <c r="G40" s="6">
        <v>1.5499999999999999E-3</v>
      </c>
      <c r="H40" s="6">
        <v>1.4599999999999999E-3</v>
      </c>
      <c r="I40" s="6">
        <v>7.0400000000000003E-3</v>
      </c>
      <c r="J40" s="7">
        <f t="shared" ref="J40:J49" si="3">AVERAGE(E40:I40)</f>
        <v>2.5739999999999999E-3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v>1.42E-3</v>
      </c>
      <c r="F41" s="6">
        <v>1.42E-3</v>
      </c>
      <c r="G41" s="6">
        <v>1.4E-3</v>
      </c>
      <c r="H41" s="6">
        <v>1.57E-3</v>
      </c>
      <c r="I41" s="6">
        <v>1.9E-3</v>
      </c>
      <c r="J41" s="7">
        <f t="shared" si="3"/>
        <v>1.542E-3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v>1.5900000000000001E-3</v>
      </c>
      <c r="F42" s="6">
        <v>1.5900000000000001E-3</v>
      </c>
      <c r="G42" s="6">
        <v>1.4400000000000001E-3</v>
      </c>
      <c r="H42" s="6">
        <v>1.4E-3</v>
      </c>
      <c r="I42" s="6">
        <v>1.41E-3</v>
      </c>
      <c r="J42" s="7">
        <f t="shared" si="3"/>
        <v>1.4859999999999999E-3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v>1.65E-3</v>
      </c>
      <c r="F43" s="6">
        <v>1.65E-3</v>
      </c>
      <c r="G43" s="6">
        <v>1.9300000000000001E-3</v>
      </c>
      <c r="H43" s="6">
        <v>1.73E-3</v>
      </c>
      <c r="I43" s="6">
        <v>1.6100000000000001E-3</v>
      </c>
      <c r="J43" s="7">
        <f t="shared" si="3"/>
        <v>1.7139999999999998E-3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v>8.8539999999999994E-2</v>
      </c>
      <c r="F44" s="6">
        <v>8.8539999999999994E-2</v>
      </c>
      <c r="G44" s="6">
        <v>0.39482</v>
      </c>
      <c r="H44" s="6">
        <v>7.17E-2</v>
      </c>
      <c r="I44" s="6">
        <v>0.10306999999999999</v>
      </c>
      <c r="J44" s="7">
        <f t="shared" si="3"/>
        <v>0.14933399999999999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v>1.5399999999999999E-3</v>
      </c>
      <c r="F45" s="6">
        <v>1.5399999999999999E-3</v>
      </c>
      <c r="G45" s="6">
        <v>1.4300000000000001E-3</v>
      </c>
      <c r="H45" s="6">
        <v>1.6199999999999999E-3</v>
      </c>
      <c r="I45" s="6">
        <v>1.3699999999999999E-3</v>
      </c>
      <c r="J45" s="7">
        <f t="shared" si="3"/>
        <v>1.5E-3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v>2.3500000000000001E-3</v>
      </c>
      <c r="F46" s="6">
        <v>2.3500000000000001E-3</v>
      </c>
      <c r="G46" s="6">
        <v>1.9499999999999999E-3</v>
      </c>
      <c r="H46" s="6">
        <v>1.6999999999999999E-3</v>
      </c>
      <c r="I46" s="6">
        <v>3.6900000000000001E-3</v>
      </c>
      <c r="J46" s="7">
        <f t="shared" si="3"/>
        <v>2.408E-3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v>7.8200000000000006E-3</v>
      </c>
      <c r="F47" s="6">
        <v>7.8200000000000006E-3</v>
      </c>
      <c r="G47" s="6">
        <v>2.5200000000000001E-3</v>
      </c>
      <c r="H47" s="6">
        <v>2.5100000000000001E-3</v>
      </c>
      <c r="I47" s="6">
        <v>2.0799999999999998E-3</v>
      </c>
      <c r="J47" s="7">
        <f t="shared" si="3"/>
        <v>4.5500000000000002E-3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v>2E-3</v>
      </c>
      <c r="F48" s="6">
        <v>2E-3</v>
      </c>
      <c r="G48" s="6">
        <v>2.4099999999999998E-3</v>
      </c>
      <c r="H48" s="6">
        <v>1.9E-3</v>
      </c>
      <c r="I48" s="6">
        <v>2.2399999999999998E-3</v>
      </c>
      <c r="J48" s="7">
        <f t="shared" si="3"/>
        <v>2.1099999999999999E-3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v>1.5E-3</v>
      </c>
      <c r="F49" s="6">
        <v>1.5E-3</v>
      </c>
      <c r="G49" s="6">
        <v>2.0999999999999999E-3</v>
      </c>
      <c r="H49" s="6">
        <v>1.5900000000000001E-3</v>
      </c>
      <c r="I49" s="6">
        <v>1.4499999999999999E-3</v>
      </c>
      <c r="J49" s="7">
        <f t="shared" si="3"/>
        <v>1.6280000000000003E-3</v>
      </c>
    </row>
    <row r="52" spans="2:10" x14ac:dyDescent="0.3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6640625" defaultRowHeight="15.0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85" customHeight="1" x14ac:dyDescent="0.3">
      <c r="B1" s="38" t="s">
        <v>31</v>
      </c>
      <c r="C1" s="38"/>
      <c r="D1" s="38"/>
    </row>
    <row r="2" spans="2:4" ht="21.8" customHeight="1" x14ac:dyDescent="0.3">
      <c r="B2" s="3" t="s">
        <v>32</v>
      </c>
      <c r="C2" s="11" t="s">
        <v>33</v>
      </c>
      <c r="D2" s="11" t="s">
        <v>34</v>
      </c>
    </row>
    <row r="3" spans="2:4" ht="9.6999999999999993" customHeight="1" x14ac:dyDescent="0.3"/>
    <row r="4" spans="2:4" ht="30.05" customHeight="1" x14ac:dyDescent="0.3">
      <c r="B4" s="1" t="s">
        <v>17</v>
      </c>
      <c r="C4" s="1" t="s">
        <v>35</v>
      </c>
      <c r="D4" s="2" t="s">
        <v>36</v>
      </c>
    </row>
    <row r="5" spans="2:4" ht="19.600000000000001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2.6200000000000003E-4</v>
      </c>
      <c r="D5" s="14">
        <f>AVERAGEIFS('1. Datos_Crudos'!$J:$J,'1. Datos_Crudos'!$B:$B,"A1 - Factorial",'1. Datos_Crudos'!$C:$C,"Recursivo",'1. Datos_Crudos'!$D:$D,B5)</f>
        <v>2.4399999999999999E-4</v>
      </c>
    </row>
    <row r="6" spans="2:4" ht="19.600000000000001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2.1400000000000004E-3</v>
      </c>
      <c r="D6" s="17">
        <f>AVERAGEIFS('1. Datos_Crudos'!$J:$J,'1. Datos_Crudos'!$B:$B,"A1 - Factorial",'1. Datos_Crudos'!$C:$C,"Recursivo",'1. Datos_Crudos'!$D:$D,B6)</f>
        <v>2.6600000000000001E-4</v>
      </c>
    </row>
    <row r="7" spans="2:4" ht="19.600000000000001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3.6400000000000001E-4</v>
      </c>
      <c r="D7" s="14">
        <f>AVERAGEIFS('1. Datos_Crudos'!$J:$J,'1. Datos_Crudos'!$B:$B,"A1 - Factorial",'1. Datos_Crudos'!$C:$C,"Recursivo",'1. Datos_Crudos'!$D:$D,B7)</f>
        <v>2.9199999999999994E-4</v>
      </c>
    </row>
    <row r="8" spans="2:4" ht="19.600000000000001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4.4800000000000005E-4</v>
      </c>
      <c r="D8" s="17">
        <f>AVERAGEIFS('1. Datos_Crudos'!$J:$J,'1. Datos_Crudos'!$B:$B,"A1 - Factorial",'1. Datos_Crudos'!$C:$C,"Recursivo",'1. Datos_Crudos'!$D:$D,B8)</f>
        <v>3.3799999999999998E-4</v>
      </c>
    </row>
    <row r="9" spans="2:4" ht="19.600000000000001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5.04E-4</v>
      </c>
      <c r="D9" s="14">
        <f>AVERAGEIFS('1. Datos_Crudos'!$J:$J,'1. Datos_Crudos'!$B:$B,"A1 - Factorial",'1. Datos_Crudos'!$C:$C,"Recursivo",'1. Datos_Crudos'!$D:$D,B9)</f>
        <v>3.4600000000000001E-4</v>
      </c>
    </row>
    <row r="10" spans="2:4" ht="19.600000000000001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0.19064</v>
      </c>
      <c r="D10" s="17">
        <f>AVERAGEIFS('1. Datos_Crudos'!$J:$J,'1. Datos_Crudos'!$B:$B,"A1 - Factorial",'1. Datos_Crudos'!$C:$C,"Recursivo",'1. Datos_Crudos'!$D:$D,B10)</f>
        <v>3.1099999999999995E-3</v>
      </c>
    </row>
    <row r="12" spans="2:4" ht="39.799999999999997" customHeight="1" x14ac:dyDescent="0.3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.0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85" customHeight="1" x14ac:dyDescent="0.3">
      <c r="B1" s="38" t="s">
        <v>38</v>
      </c>
      <c r="C1" s="38"/>
      <c r="D1" s="38"/>
    </row>
    <row r="2" spans="2:4" ht="44.45" customHeight="1" x14ac:dyDescent="0.3">
      <c r="B2" s="3" t="s">
        <v>32</v>
      </c>
      <c r="C2" s="11" t="s">
        <v>33</v>
      </c>
      <c r="D2" s="18" t="s">
        <v>39</v>
      </c>
    </row>
    <row r="3" spans="2:4" ht="9.6999999999999993" customHeight="1" x14ac:dyDescent="0.3"/>
    <row r="4" spans="2:4" ht="30.05" customHeight="1" x14ac:dyDescent="0.3">
      <c r="B4" s="1" t="s">
        <v>17</v>
      </c>
      <c r="C4" s="1" t="s">
        <v>35</v>
      </c>
      <c r="D4" s="2" t="s">
        <v>40</v>
      </c>
    </row>
    <row r="5" spans="2:4" ht="19.600000000000001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2.8799999999999995E-4</v>
      </c>
      <c r="D5" s="19">
        <f>AVERAGEIFS('1. Datos_Crudos'!$J:$J,'1. Datos_Crudos'!$B:$B,"A2 - Fibonacci",'1. Datos_Crudos'!$C:$C,"Recursivo",'1. Datos_Crudos'!$D:$D,B5)</f>
        <v>2.0800000000000001E-4</v>
      </c>
    </row>
    <row r="6" spans="2:4" ht="19.600000000000001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5.62E-4</v>
      </c>
      <c r="D6" s="20">
        <f>AVERAGEIFS('1. Datos_Crudos'!$J:$J,'1. Datos_Crudos'!$B:$B,"A2 - Fibonacci",'1. Datos_Crudos'!$C:$C,"Recursivo",'1. Datos_Crudos'!$D:$D,B6)</f>
        <v>5.2599999999999999E-4</v>
      </c>
    </row>
    <row r="7" spans="2:4" ht="19.600000000000001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5.6519999999999999E-3</v>
      </c>
      <c r="D7" s="19">
        <f>AVERAGEIFS('1. Datos_Crudos'!$J:$J,'1. Datos_Crudos'!$B:$B,"A2 - Fibonacci",'1. Datos_Crudos'!$C:$C,"Recursivo",'1. Datos_Crudos'!$D:$D,B7)</f>
        <v>5.7959999999999999E-3</v>
      </c>
    </row>
    <row r="8" spans="2:4" ht="19.600000000000001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4.7800000000000002E-4</v>
      </c>
      <c r="D8" s="20">
        <f>AVERAGEIFS('1. Datos_Crudos'!$J:$J,'1. Datos_Crudos'!$B:$B,"A2 - Fibonacci",'1. Datos_Crudos'!$C:$C,"Recursivo",'1. Datos_Crudos'!$D:$D,B8)</f>
        <v>5.5909999999999994E-2</v>
      </c>
    </row>
    <row r="9" spans="2:4" ht="19.600000000000001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1.3100000000000002E-3</v>
      </c>
      <c r="D9" s="19">
        <f>AVERAGEIFS('1. Datos_Crudos'!$J:$J,'1. Datos_Crudos'!$B:$B,"A2 - Fibonacci",'1. Datos_Crudos'!$C:$C,"Recursivo",'1. Datos_Crudos'!$D:$D,B9)</f>
        <v>0.42469999999999997</v>
      </c>
    </row>
    <row r="10" spans="2:4" ht="19.600000000000001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1.16E-3</v>
      </c>
      <c r="D10" s="20">
        <f>AVERAGEIFS('1. Datos_Crudos'!$J:$J,'1. Datos_Crudos'!$B:$B,"A2 - Fibonacci",'1. Datos_Crudos'!$C:$C,"Recursivo",'1. Datos_Crudos'!$D:$D,B10)</f>
        <v>4.9792620000000003</v>
      </c>
    </row>
    <row r="12" spans="2:4" ht="39.799999999999997" customHeight="1" x14ac:dyDescent="0.3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.0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85" customHeight="1" x14ac:dyDescent="0.3">
      <c r="B1" s="38" t="s">
        <v>42</v>
      </c>
      <c r="C1" s="38"/>
      <c r="D1" s="38"/>
    </row>
    <row r="2" spans="2:4" ht="21.8" customHeight="1" x14ac:dyDescent="0.3">
      <c r="B2" s="3" t="s">
        <v>32</v>
      </c>
      <c r="C2" s="11" t="s">
        <v>33</v>
      </c>
      <c r="D2" s="11" t="s">
        <v>34</v>
      </c>
    </row>
    <row r="3" spans="2:4" ht="9.6999999999999993" customHeight="1" x14ac:dyDescent="0.3"/>
    <row r="4" spans="2:4" ht="30.05" customHeight="1" x14ac:dyDescent="0.3">
      <c r="B4" s="1" t="s">
        <v>17</v>
      </c>
      <c r="C4" s="1" t="s">
        <v>35</v>
      </c>
      <c r="D4" s="2" t="s">
        <v>36</v>
      </c>
    </row>
    <row r="5" spans="2:4" ht="19.600000000000001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2.4200000000000003E-4</v>
      </c>
      <c r="D5" s="14">
        <f>AVERAGEIFS('1. Datos_Crudos'!$J:$J,'1. Datos_Crudos'!$B:$B,"A3 - Busqueda Lineal",'1. Datos_Crudos'!$C:$C,"Recursivo",'1. Datos_Crudos'!$D:$D,B5)</f>
        <v>6.2399999999999988E-4</v>
      </c>
    </row>
    <row r="6" spans="2:4" ht="19.600000000000001" customHeight="1" x14ac:dyDescent="0.3">
      <c r="B6" s="15">
        <v>500</v>
      </c>
      <c r="C6" s="16">
        <f>AVERAGEIFS('1. Datos_Crudos'!$J:$J,'1. Datos_Crudos'!$B:$B,"A3 - Busqueda Lineal",'1. Datos_Crudos'!$C:$C,"Iterativo",'1. Datos_Crudos'!$D:$D,B6)</f>
        <v>2.72E-4</v>
      </c>
      <c r="D6" s="17">
        <f>AVERAGEIFS('1. Datos_Crudos'!$J:$J,'1. Datos_Crudos'!$B:$B,"A3 - Busqueda Lineal",'1. Datos_Crudos'!$C:$C,"Recursivo",'1. Datos_Crudos'!$D:$D,B6)</f>
        <v>3.0800000000000001E-4</v>
      </c>
    </row>
    <row r="7" spans="2:4" ht="19.600000000000001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2.9599999999999993E-4</v>
      </c>
      <c r="D7" s="14">
        <f>AVERAGEIFS('1. Datos_Crudos'!$J:$J,'1. Datos_Crudos'!$B:$B,"A3 - Busqueda Lineal",'1. Datos_Crudos'!$C:$C,"Recursivo",'1. Datos_Crudos'!$D:$D,B7)</f>
        <v>5.0600000000000005E-4</v>
      </c>
    </row>
    <row r="8" spans="2:4" ht="19.600000000000001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2.8399999999999996E-4</v>
      </c>
      <c r="D8" s="17">
        <f>AVERAGEIFS('1. Datos_Crudos'!$J:$J,'1. Datos_Crudos'!$B:$B,"A3 - Busqueda Lineal",'1. Datos_Crudos'!$C:$C,"Recursivo",'1. Datos_Crudos'!$D:$D,B8)</f>
        <v>3.9199999999999999E-4</v>
      </c>
    </row>
    <row r="9" spans="2:4" ht="19.600000000000001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7.2399999999999993E-4</v>
      </c>
      <c r="D9" s="14">
        <f>AVERAGEIFS('1. Datos_Crudos'!$J:$J,'1. Datos_Crudos'!$B:$B,"A3 - Busqueda Lineal",'1. Datos_Crudos'!$C:$C,"Recursivo",'1. Datos_Crudos'!$D:$D,B9)</f>
        <v>9.1E-4</v>
      </c>
    </row>
    <row r="11" spans="2:4" ht="39.799999999999997" customHeight="1" x14ac:dyDescent="0.3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topLeftCell="A4" zoomScaleNormal="100" workbookViewId="0"/>
  </sheetViews>
  <sheetFormatPr baseColWidth="10" defaultColWidth="8.6640625" defaultRowHeight="15.0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85" customHeight="1" x14ac:dyDescent="0.3">
      <c r="B1" s="38" t="s">
        <v>44</v>
      </c>
      <c r="C1" s="38"/>
      <c r="D1" s="38"/>
    </row>
    <row r="2" spans="2:4" ht="21.8" customHeight="1" x14ac:dyDescent="0.3">
      <c r="B2" s="3" t="s">
        <v>32</v>
      </c>
      <c r="C2" s="11" t="s">
        <v>45</v>
      </c>
      <c r="D2" s="11" t="s">
        <v>46</v>
      </c>
    </row>
    <row r="3" spans="2:4" ht="9.6999999999999993" customHeight="1" x14ac:dyDescent="0.3"/>
    <row r="4" spans="2:4" ht="30.05" customHeight="1" x14ac:dyDescent="0.3">
      <c r="B4" s="1" t="s">
        <v>17</v>
      </c>
      <c r="C4" s="1" t="s">
        <v>47</v>
      </c>
      <c r="D4" s="2" t="s">
        <v>48</v>
      </c>
    </row>
    <row r="5" spans="2:4" ht="19.600000000000001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2.5739999999999999E-3</v>
      </c>
      <c r="D5" s="14">
        <f>AVERAGEIFS('1. Datos_Crudos'!$J:$J,'1. Datos_Crudos'!$B:$B,"A4 - Burbuja",'1. Datos_Crudos'!$C:$C,"Recursivo",'1. Datos_Crudos'!$D:$D,B5)</f>
        <v>1.5E-3</v>
      </c>
    </row>
    <row r="6" spans="2:4" ht="19.600000000000001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1.542E-3</v>
      </c>
      <c r="D6" s="17">
        <f>AVERAGEIFS('1. Datos_Crudos'!$J:$J,'1. Datos_Crudos'!$B:$B,"A4 - Burbuja",'1. Datos_Crudos'!$C:$C,"Recursivo",'1. Datos_Crudos'!$D:$D,B6)</f>
        <v>2.408E-3</v>
      </c>
    </row>
    <row r="7" spans="2:4" ht="19.600000000000001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1.4859999999999999E-3</v>
      </c>
      <c r="D7" s="14">
        <f>AVERAGEIFS('1. Datos_Crudos'!$J:$J,'1. Datos_Crudos'!$B:$B,"A4 - Burbuja",'1. Datos_Crudos'!$C:$C,"Recursivo",'1. Datos_Crudos'!$D:$D,B7)</f>
        <v>4.5500000000000002E-3</v>
      </c>
    </row>
    <row r="8" spans="2:4" ht="19.600000000000001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1.7139999999999998E-3</v>
      </c>
      <c r="D8" s="17">
        <f>AVERAGEIFS('1. Datos_Crudos'!$J:$J,'1. Datos_Crudos'!$B:$B,"A4 - Burbuja",'1. Datos_Crudos'!$C:$C,"Recursivo",'1. Datos_Crudos'!$D:$D,B8)</f>
        <v>2.1099999999999999E-3</v>
      </c>
    </row>
    <row r="9" spans="2:4" ht="19.600000000000001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0.14933399999999999</v>
      </c>
      <c r="D9" s="14">
        <f>AVERAGEIFS('1. Datos_Crudos'!$J:$J,'1. Datos_Crudos'!$B:$B,"A4 - Burbuja",'1. Datos_Crudos'!$C:$C,"Recursivo",'1. Datos_Crudos'!$D:$D,B9)</f>
        <v>1.6280000000000003E-3</v>
      </c>
    </row>
    <row r="11" spans="2:4" ht="39.799999999999997" customHeight="1" x14ac:dyDescent="0.3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opLeftCell="E1" zoomScaleNormal="100" workbookViewId="0">
      <selection activeCell="G11" sqref="G11"/>
    </sheetView>
  </sheetViews>
  <sheetFormatPr baseColWidth="10" defaultColWidth="8.6640625" defaultRowHeight="15.0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85" customHeight="1" x14ac:dyDescent="0.3">
      <c r="B1" s="38" t="s">
        <v>50</v>
      </c>
      <c r="C1" s="38"/>
      <c r="D1" s="38"/>
      <c r="E1" s="38"/>
      <c r="F1" s="38"/>
      <c r="G1" s="38"/>
    </row>
    <row r="2" spans="2:7" ht="9.6999999999999993" customHeight="1" x14ac:dyDescent="0.3"/>
    <row r="3" spans="2:7" ht="30.05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8" customHeight="1" x14ac:dyDescent="0.3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66</v>
      </c>
    </row>
    <row r="5" spans="2:7" ht="21.8" customHeight="1" x14ac:dyDescent="0.3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65</v>
      </c>
      <c r="G5" s="27" t="s">
        <v>67</v>
      </c>
    </row>
    <row r="6" spans="2:7" ht="21.8" customHeight="1" x14ac:dyDescent="0.3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68</v>
      </c>
    </row>
    <row r="7" spans="2:7" ht="21.8" customHeight="1" x14ac:dyDescent="0.3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65</v>
      </c>
      <c r="G7" s="27" t="s">
        <v>69</v>
      </c>
    </row>
    <row r="8" spans="2:7" ht="21.8" customHeight="1" x14ac:dyDescent="0.3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71</v>
      </c>
    </row>
    <row r="9" spans="2:7" ht="21.8" customHeight="1" x14ac:dyDescent="0.3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65</v>
      </c>
      <c r="G9" s="27" t="s">
        <v>70</v>
      </c>
    </row>
    <row r="10" spans="2:7" ht="21.8" customHeight="1" x14ac:dyDescent="0.3">
      <c r="B10" s="23" t="s">
        <v>29</v>
      </c>
      <c r="C10" s="24" t="s">
        <v>25</v>
      </c>
      <c r="D10" s="25" t="s">
        <v>45</v>
      </c>
      <c r="E10" s="23" t="s">
        <v>45</v>
      </c>
      <c r="F10" s="26" t="s">
        <v>65</v>
      </c>
      <c r="G10" s="27" t="s">
        <v>72</v>
      </c>
    </row>
    <row r="11" spans="2:7" ht="21.8" customHeight="1" x14ac:dyDescent="0.3">
      <c r="B11" s="28" t="s">
        <v>29</v>
      </c>
      <c r="C11" s="29" t="s">
        <v>26</v>
      </c>
      <c r="D11" s="25" t="s">
        <v>45</v>
      </c>
      <c r="E11" s="28" t="s">
        <v>45</v>
      </c>
      <c r="F11" s="26" t="s">
        <v>65</v>
      </c>
      <c r="G11" s="27" t="s">
        <v>73</v>
      </c>
    </row>
    <row r="14" spans="2:7" ht="7.55" customHeight="1" x14ac:dyDescent="0.3"/>
    <row r="15" spans="2:7" ht="15.05" customHeight="1" x14ac:dyDescent="0.3">
      <c r="B15" s="42" t="s">
        <v>56</v>
      </c>
      <c r="C15" s="42"/>
      <c r="D15" s="42"/>
      <c r="E15" s="42"/>
      <c r="F15" s="42"/>
      <c r="G15" s="42"/>
    </row>
    <row r="16" spans="2:7" ht="19.600000000000001" customHeight="1" x14ac:dyDescent="0.3">
      <c r="B16" s="3" t="s">
        <v>57</v>
      </c>
      <c r="C16" s="43" t="s">
        <v>58</v>
      </c>
      <c r="D16" s="43"/>
      <c r="E16" s="43"/>
      <c r="F16" s="43"/>
      <c r="G16" s="43"/>
    </row>
    <row r="17" spans="2:7" ht="19.600000000000001" customHeight="1" x14ac:dyDescent="0.3">
      <c r="B17" s="8" t="s">
        <v>59</v>
      </c>
      <c r="C17" s="44" t="s">
        <v>60</v>
      </c>
      <c r="D17" s="44"/>
      <c r="E17" s="44"/>
      <c r="F17" s="44"/>
      <c r="G17" s="44"/>
    </row>
    <row r="18" spans="2:7" ht="19.600000000000001" customHeight="1" x14ac:dyDescent="0.3">
      <c r="B18" s="3" t="s">
        <v>61</v>
      </c>
      <c r="C18" s="43" t="s">
        <v>62</v>
      </c>
      <c r="D18" s="43"/>
      <c r="E18" s="43"/>
      <c r="F18" s="43"/>
      <c r="G18" s="43"/>
    </row>
    <row r="19" spans="2:7" ht="19.600000000000001" customHeight="1" x14ac:dyDescent="0.3">
      <c r="B19" s="30" t="s">
        <v>63</v>
      </c>
      <c r="C19" s="41" t="s">
        <v>64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Celeste Fuentes Sepet</cp:lastModifiedBy>
  <cp:revision>1</cp:revision>
  <dcterms:created xsi:type="dcterms:W3CDTF">2026-02-20T06:55:59Z</dcterms:created>
  <dcterms:modified xsi:type="dcterms:W3CDTF">2026-03-04T06:33:15Z</dcterms:modified>
  <dc:language>en-US</dc:language>
</cp:coreProperties>
</file>